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940" windowHeight="17640"/>
  </bookViews>
  <sheets>
    <sheet name="Расчеты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<sst xmlns="http://schemas.openxmlformats.org/spreadsheetml/2006/main" count="169" uniqueCount="33">
  <si>
    <t>ФИО сотрудника</t>
  </si>
  <si>
    <t>Оклад (руб.)</t>
  </si>
  <si>
    <t>Премия (%)</t>
  </si>
  <si>
    <t>Премия (руб.)</t>
  </si>
  <si>
    <t>НДФЛ (13%)</t>
  </si>
  <si>
    <t>К выдаче</t>
  </si>
  <si>
    <t>№ п/п</t>
  </si>
  <si>
    <t>Ставка НДФЛ:</t>
  </si>
  <si>
    <t>Коэффициент:</t>
  </si>
  <si>
    <t/>
  </si>
  <si>
    <t>НДС (ставка)</t>
  </si>
  <si>
    <t>Иванов И.И.</t>
  </si>
  <si>
    <t>Петров П.П.</t>
  </si>
  <si>
    <t>Сидоров С.С.</t>
  </si>
  <si>
    <t>Кузнецова К.К.</t>
  </si>
  <si>
    <t>Смирнов С.С.</t>
  </si>
  <si>
    <t>ИТОГО:</t>
  </si>
  <si>
    <t>Средняя зарплата:</t>
  </si>
  <si>
    <t>Максимум:</t>
  </si>
  <si>
    <t>Минимум:</t>
  </si>
  <si>
    <t>Товары</t>
  </si>
  <si>
    <t>Товар</t>
  </si>
  <si>
    <t>Цена за ед.</t>
  </si>
  <si>
    <t>Кол-во</t>
  </si>
  <si>
    <t>Скидка %</t>
  </si>
  <si>
    <t>Стоимость</t>
  </si>
  <si>
    <t>Итого со скидкой</t>
  </si>
  <si>
    <t>НДС</t>
  </si>
  <si>
    <t>Ноутбук</t>
  </si>
  <si>
    <t>Монитор</t>
  </si>
  <si>
    <t>Клавиатура</t>
  </si>
  <si>
    <t>Мышь</t>
  </si>
  <si>
    <t>ИТОГО товары: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</si>
</sst>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3" formatCode="_-* #,##0.00_-;\-* #,##0.00_-;_-* &quot;-&quot;??_-;_-@_-"/>
    <numFmt numFmtId="176" formatCode="_-* #,##0.00\ &quot;₽&quot;_-;\-* #,##0.00\ &quot;₽&quot;_-;_-* &quot;-&quot;??\ &quot;₽&quot;_-;_-@_-"/>
    <numFmt numFmtId="177" formatCode="_-* #,##0\ &quot;₽&quot;_-;\-* #,##0\ &quot;₽&quot;_-;_-* &quot;-&quot;\ &quot;₽&quot;_-;_-@_-"/>
    <numFmt numFmtId="178" formatCode="#,##0.00&quot;₽&quot;_);[Red]\(#,##0.00&quot;₽&quot;\)"/>
  </numFmts>
  <fonts count="23">
    <font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7" borderId="4" applyNumberFormat="0" applyAlignment="0" applyProtection="0">
      <alignment vertical="center"/>
    </xf>
    <xf numFmtId="0" fontId="15" fillId="8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178" fontId="0" fillId="0" borderId="0" xfId="0" applyNumberFormat="1"/>
    <xf numFmtId="0" fontId="0" fillId="3" borderId="0" xfId="0" applyFill="1"/>
    <xf numFmtId="0" fontId="2" fillId="0" borderId="0" xfId="0" applyFont="1"/>
    <xf numFmtId="0" fontId="0" fillId="4" borderId="0" xfId="0" applyFill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8"/>
  <sheetViews>
    <sheetView tabSelected="1" workbookViewId="0">
      <selection activeCell="I24" sqref="I23:I24"/>
    </sheetView>
  </sheetViews>
  <sheetFormatPr defaultColWidth="9" defaultRowHeight="15"/>
  <cols>
    <col min="1" max="1" width="19.4285714285714" customWidth="1"/>
    <col min="2" max="2" width="12.1428571428571" customWidth="1"/>
    <col min="3" max="3" width="12.5714285714286" customWidth="1"/>
    <col min="4" max="4" width="15.1428571428571" customWidth="1"/>
    <col min="5" max="5" width="12.8571428571429" customWidth="1"/>
    <col min="6" max="6" width="18" customWidth="1"/>
    <col min="8" max="8" width="14.4285714285714" customWidth="1"/>
    <col min="9" max="9" width="15.142857142857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9</v>
      </c>
      <c r="L1" t="s">
        <v>9</v>
      </c>
      <c r="M1" t="s">
        <v>10</v>
      </c>
    </row>
    <row r="2" spans="1:14">
      <c r="A2" t="s">
        <v>11</v>
      </c>
      <c r="B2" s="2">
        <v>50000</v>
      </c>
      <c r="C2">
        <v>20</v>
      </c>
      <c r="D2" s="2">
        <f>B2*C2/100</f>
        <v>10000</v>
      </c>
      <c r="E2" s="2">
        <f>(B2+D2)*$H$2</f>
        <v>7800</v>
      </c>
      <c r="F2" s="2">
        <f>B2+D2-E2</f>
        <v>52200</v>
      </c>
      <c r="G2">
        <v>1</v>
      </c>
      <c r="H2" s="3">
        <v>0.13</v>
      </c>
      <c r="I2">
        <v>1.5</v>
      </c>
      <c r="J2" t="s">
        <v>9</v>
      </c>
      <c r="K2" t="s">
        <v>9</v>
      </c>
      <c r="L2" t="s">
        <v>9</v>
      </c>
      <c r="M2" t="s">
        <v>9</v>
      </c>
      <c r="N2">
        <v>0.2</v>
      </c>
    </row>
    <row r="3" spans="1:14">
      <c r="A3" t="s">
        <v>12</v>
      </c>
      <c r="B3" s="2">
        <v>45000</v>
      </c>
      <c r="C3">
        <v>15</v>
      </c>
      <c r="D3" s="2">
        <f>B3*C3/100</f>
        <v>6750</v>
      </c>
      <c r="E3" s="2">
        <f>(B3+D3)*$H$2</f>
        <v>6727.5</v>
      </c>
      <c r="F3" s="2">
        <f>B3+D3-E3</f>
        <v>45022.5</v>
      </c>
      <c r="G3">
        <v>2</v>
      </c>
      <c r="H3" t="s">
        <v>9</v>
      </c>
      <c r="I3" t="s">
        <v>9</v>
      </c>
      <c r="J3" t="s">
        <v>9</v>
      </c>
      <c r="K3" t="s">
        <v>9</v>
      </c>
      <c r="L3" t="s">
        <v>9</v>
      </c>
      <c r="M3" t="s">
        <v>9</v>
      </c>
    </row>
    <row r="4" spans="1:14">
      <c r="A4" t="s">
        <v>13</v>
      </c>
      <c r="B4" s="2">
        <v>62000</v>
      </c>
      <c r="C4">
        <v>25</v>
      </c>
      <c r="D4" s="2">
        <f>B4*C4/100</f>
        <v>15500</v>
      </c>
      <c r="E4" s="2">
        <f>(B4+D4)*$H$2</f>
        <v>10075</v>
      </c>
      <c r="F4" s="2">
        <f>B4+D4-E4</f>
        <v>67425</v>
      </c>
      <c r="G4">
        <v>3</v>
      </c>
      <c r="H4" t="s">
        <v>9</v>
      </c>
      <c r="I4" t="s">
        <v>9</v>
      </c>
      <c r="J4" t="s">
        <v>9</v>
      </c>
      <c r="K4" t="s">
        <v>9</v>
      </c>
      <c r="L4" t="s">
        <v>9</v>
      </c>
      <c r="M4" t="s">
        <v>9</v>
      </c>
    </row>
    <row r="5" spans="1:14">
      <c r="A5" t="s">
        <v>14</v>
      </c>
      <c r="B5" s="2">
        <v>55000</v>
      </c>
      <c r="C5">
        <v>10</v>
      </c>
      <c r="D5" s="2">
        <f>B5*C5/100</f>
        <v>5500</v>
      </c>
      <c r="E5" s="2">
        <f>(B5+D5)*$H$2</f>
        <v>7865</v>
      </c>
      <c r="F5" s="2">
        <f>B5+D5-E5</f>
        <v>52635</v>
      </c>
      <c r="G5">
        <v>4</v>
      </c>
      <c r="H5" t="s">
        <v>9</v>
      </c>
      <c r="I5" t="s">
        <v>9</v>
      </c>
      <c r="J5" t="s">
        <v>9</v>
      </c>
      <c r="K5" t="s">
        <v>9</v>
      </c>
      <c r="L5" t="s">
        <v>9</v>
      </c>
      <c r="M5" t="s">
        <v>9</v>
      </c>
    </row>
    <row r="6" spans="1:14">
      <c r="A6" t="s">
        <v>15</v>
      </c>
      <c r="B6" s="2">
        <v>40000</v>
      </c>
      <c r="C6">
        <v>30</v>
      </c>
      <c r="D6" s="2">
        <f>B6*C6/100</f>
        <v>12000</v>
      </c>
      <c r="E6" s="2">
        <f>(B6+D6)*$H$2</f>
        <v>6760</v>
      </c>
      <c r="F6" s="2">
        <f>B6+D6-E6</f>
        <v>45240</v>
      </c>
      <c r="G6">
        <v>5</v>
      </c>
      <c r="H6" t="s">
        <v>9</v>
      </c>
      <c r="I6" t="s">
        <v>9</v>
      </c>
      <c r="J6" t="s">
        <v>9</v>
      </c>
      <c r="K6" t="s">
        <v>9</v>
      </c>
      <c r="L6" t="s">
        <v>9</v>
      </c>
      <c r="M6" t="s">
        <v>9</v>
      </c>
    </row>
    <row r="7" spans="1:14">
      <c r="A7" s="4" t="s">
        <v>16</v>
      </c>
      <c r="B7" s="2">
        <f>SUM(B2:B6)</f>
        <v>252000</v>
      </c>
      <c r="C7" t="s">
        <v>9</v>
      </c>
      <c r="D7" s="2">
        <f>SUM(D2:D6)</f>
        <v>49750</v>
      </c>
      <c r="E7" s="2">
        <f>SUM(E2:E6)</f>
        <v>39227.5</v>
      </c>
      <c r="F7" s="2">
        <f>SUM(F2:F6)</f>
        <v>262522.5</v>
      </c>
      <c r="G7" t="s">
        <v>9</v>
      </c>
      <c r="H7" t="s">
        <v>9</v>
      </c>
      <c r="I7" t="s">
        <v>9</v>
      </c>
      <c r="J7" t="s">
        <v>9</v>
      </c>
      <c r="K7" t="s">
        <v>9</v>
      </c>
      <c r="L7" t="s">
        <v>9</v>
      </c>
      <c r="M7" t="s">
        <v>9</v>
      </c>
    </row>
    <row r="8" spans="1:14">
      <c r="A8" t="s">
        <v>9</v>
      </c>
      <c r="B8" t="s">
        <v>9</v>
      </c>
      <c r="C8" t="s">
        <v>9</v>
      </c>
      <c r="D8" t="s">
        <v>9</v>
      </c>
      <c r="E8" t="s">
        <v>9</v>
      </c>
      <c r="F8" t="s">
        <v>9</v>
      </c>
      <c r="G8" t="s">
        <v>9</v>
      </c>
      <c r="H8" t="s">
        <v>9</v>
      </c>
      <c r="I8" t="s">
        <v>9</v>
      </c>
      <c r="J8" t="s">
        <v>9</v>
      </c>
      <c r="K8" t="s">
        <v>9</v>
      </c>
      <c r="L8" t="s">
        <v>9</v>
      </c>
      <c r="M8" t="s">
        <v>9</v>
      </c>
    </row>
    <row r="9" spans="1:14">
      <c r="A9" t="s">
        <v>17</v>
      </c>
      <c r="B9">
        <f>AVERAGE(F2:F6)</f>
        <v>52504.5</v>
      </c>
      <c r="C9" t="s">
        <v>9</v>
      </c>
      <c r="D9" t="s">
        <v>9</v>
      </c>
      <c r="E9" t="s">
        <v>9</v>
      </c>
      <c r="F9" t="s">
        <v>9</v>
      </c>
      <c r="G9" t="s">
        <v>9</v>
      </c>
      <c r="H9" t="s">
        <v>9</v>
      </c>
      <c r="I9" t="s">
        <v>9</v>
      </c>
      <c r="J9" t="s">
        <v>9</v>
      </c>
      <c r="K9" t="s">
        <v>9</v>
      </c>
      <c r="L9" t="s">
        <v>9</v>
      </c>
      <c r="M9" t="s">
        <v>9</v>
      </c>
    </row>
    <row r="10" spans="1:14">
      <c r="A10" t="s">
        <v>18</v>
      </c>
      <c r="B10">
        <f>MAX(F2:F6)</f>
        <v>67425</v>
      </c>
      <c r="C10" t="s">
        <v>9</v>
      </c>
      <c r="D10" t="s">
        <v>9</v>
      </c>
      <c r="E10" t="s">
        <v>9</v>
      </c>
      <c r="F10" t="s">
        <v>9</v>
      </c>
      <c r="G10" t="s">
        <v>9</v>
      </c>
      <c r="H10" t="s">
        <v>9</v>
      </c>
      <c r="I10" t="s">
        <v>9</v>
      </c>
      <c r="J10" t="s">
        <v>9</v>
      </c>
      <c r="K10" t="s">
        <v>9</v>
      </c>
      <c r="L10" t="s">
        <v>9</v>
      </c>
      <c r="M10" t="s">
        <v>9</v>
      </c>
    </row>
    <row r="11" spans="1:14">
      <c r="A11" t="s">
        <v>19</v>
      </c>
      <c r="B11">
        <f>MIN(F2:F6)</f>
        <v>45022.5</v>
      </c>
      <c r="C11" t="s">
        <v>9</v>
      </c>
      <c r="D11" t="s">
        <v>9</v>
      </c>
      <c r="E11" t="s">
        <v>9</v>
      </c>
      <c r="F11" t="s">
        <v>9</v>
      </c>
      <c r="G11" t="s">
        <v>9</v>
      </c>
      <c r="H11" t="s">
        <v>9</v>
      </c>
      <c r="I11" t="s">
        <v>9</v>
      </c>
      <c r="J11" t="s">
        <v>9</v>
      </c>
      <c r="K11" t="s">
        <v>9</v>
      </c>
      <c r="L11" t="s">
        <v>9</v>
      </c>
      <c r="M11" t="s">
        <v>9</v>
      </c>
    </row>
    <row r="12" spans="1:14">
      <c r="A12" t="s">
        <v>20</v>
      </c>
      <c r="B12" t="s">
        <v>9</v>
      </c>
      <c r="C12" t="s">
        <v>9</v>
      </c>
      <c r="D12" t="s">
        <v>9</v>
      </c>
      <c r="E12" t="s">
        <v>9</v>
      </c>
      <c r="F12" t="s">
        <v>9</v>
      </c>
      <c r="G12" t="s">
        <v>9</v>
      </c>
      <c r="H12" t="s">
        <v>9</v>
      </c>
      <c r="I12" t="s">
        <v>9</v>
      </c>
      <c r="J12" t="s">
        <v>9</v>
      </c>
      <c r="K12" t="s">
        <v>9</v>
      </c>
      <c r="L12" t="s">
        <v>9</v>
      </c>
      <c r="M12" t="s">
        <v>9</v>
      </c>
    </row>
    <row r="13" spans="1:14">
      <c r="A13" t="s">
        <v>21</v>
      </c>
      <c r="B13" t="s">
        <v>22</v>
      </c>
      <c r="C13" t="s">
        <v>23</v>
      </c>
      <c r="D13" t="s">
        <v>24</v>
      </c>
      <c r="E13" t="s">
        <v>25</v>
      </c>
      <c r="F13" t="s">
        <v>26</v>
      </c>
      <c r="G13" s="5" t="s">
        <v>27</v>
      </c>
      <c r="H13" t="s">
        <v>9</v>
      </c>
      <c r="I13" t="s">
        <v>9</v>
      </c>
      <c r="J13" t="s">
        <v>9</v>
      </c>
      <c r="K13" t="s">
        <v>9</v>
      </c>
      <c r="L13" t="s">
        <v>9</v>
      </c>
      <c r="M13" t="s">
        <v>9</v>
      </c>
    </row>
    <row r="14" spans="1:14">
      <c r="A14" t="s">
        <v>28</v>
      </c>
      <c r="B14">
        <v>45000</v>
      </c>
      <c r="C14">
        <v>5</v>
      </c>
      <c r="D14">
        <v>5</v>
      </c>
      <c r="E14">
        <f>B14*C14</f>
        <v>225000</v>
      </c>
      <c r="F14">
        <f>E14*(1-D14/100)</f>
        <v>213750</v>
      </c>
      <c r="G14">
        <f>E14*$N$2</f>
        <v>45000</v>
      </c>
      <c r="H14" t="s">
        <v>9</v>
      </c>
      <c r="I14" t="s">
        <v>9</v>
      </c>
      <c r="J14" t="s">
        <v>9</v>
      </c>
      <c r="K14" t="s">
        <v>9</v>
      </c>
      <c r="L14" t="s">
        <v>9</v>
      </c>
      <c r="M14" t="s">
        <v>9</v>
      </c>
    </row>
    <row r="15" spans="1:14">
      <c r="A15" t="s">
        <v>29</v>
      </c>
      <c r="B15">
        <v>18000</v>
      </c>
      <c r="C15">
        <v>10</v>
      </c>
      <c r="D15">
        <v>3</v>
      </c>
      <c r="E15">
        <f>B15*C15</f>
        <v>180000</v>
      </c>
      <c r="F15">
        <f>E15*(1-D15/100)</f>
        <v>174600</v>
      </c>
      <c r="G15">
        <f>E15*$N$2</f>
        <v>36000</v>
      </c>
      <c r="H15" t="s">
        <v>9</v>
      </c>
      <c r="I15" t="s">
        <v>9</v>
      </c>
      <c r="J15" t="s">
        <v>9</v>
      </c>
      <c r="K15" t="s">
        <v>9</v>
      </c>
      <c r="L15" t="s">
        <v>9</v>
      </c>
      <c r="M15" t="s">
        <v>9</v>
      </c>
    </row>
    <row r="16" spans="1:14">
      <c r="A16" t="s">
        <v>30</v>
      </c>
      <c r="B16">
        <v>1500</v>
      </c>
      <c r="C16">
        <v>25</v>
      </c>
      <c r="D16">
        <v>10</v>
      </c>
      <c r="E16">
        <f>B16*C16</f>
        <v>37500</v>
      </c>
      <c r="F16">
        <f>E16*(1-D16/100)</f>
        <v>33750</v>
      </c>
      <c r="G16">
        <f>E16*$N$2</f>
        <v>7500</v>
      </c>
      <c r="H16" t="s">
        <v>9</v>
      </c>
      <c r="I16" t="s">
        <v>9</v>
      </c>
      <c r="J16" t="s">
        <v>9</v>
      </c>
      <c r="K16" t="s">
        <v>9</v>
      </c>
      <c r="L16" t="s">
        <v>9</v>
      </c>
      <c r="M16" t="s">
        <v>9</v>
      </c>
    </row>
    <row r="17" spans="1:13">
      <c r="A17" t="s">
        <v>31</v>
      </c>
      <c r="B17">
        <v>800</v>
      </c>
      <c r="C17">
        <v>30</v>
      </c>
      <c r="D17">
        <v>7</v>
      </c>
      <c r="E17">
        <f>B17*C17</f>
        <v>24000</v>
      </c>
      <c r="F17">
        <f>E17*(1-D17/100)</f>
        <v>22320</v>
      </c>
      <c r="G17">
        <f>E17*$N$2</f>
        <v>4800</v>
      </c>
      <c r="H17" t="s">
        <v>9</v>
      </c>
      <c r="I17" t="s">
        <v>9</v>
      </c>
      <c r="J17" t="s">
        <v>9</v>
      </c>
      <c r="K17" t="s">
        <v>9</v>
      </c>
      <c r="L17" t="s">
        <v>9</v>
      </c>
      <c r="M17" t="s">
        <v>9</v>
      </c>
    </row>
    <row r="18" spans="1:13">
      <c r="A18" t="s">
        <v>9</v>
      </c>
      <c r="B18" t="s">
        <v>32</v>
      </c>
      <c r="C18"/>
      <c r="D18" t="s">
        <v>9</v>
      </c>
      <c r="E18" t="s">
        <v>9</v>
      </c>
      <c r="F18">
        <f>SUM(F14:F17)</f>
        <v>444420</v>
      </c>
      <c r="G18" t="s">
        <v>9</v>
      </c>
      <c r="H18" t="s">
        <v>9</v>
      </c>
      <c r="I18" t="s">
        <v>9</v>
      </c>
      <c r="J18" t="s">
        <v>9</v>
      </c>
      <c r="K18" t="s">
        <v>9</v>
      </c>
      <c r="L18" t="s">
        <v>9</v>
      </c>
      <c r="M18" t="s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Расчеты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Ford Game</cp:lastModifiedBy>
  <dcterms:created xsi:type="dcterms:W3CDTF">2026-09-20T18:09:00Z</dcterms:created>
  <dcterms:modified xsi:type="dcterms:W3CDTF">2026-09-20T18:33:50Z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BD139A86E1224B25889FA3F07EA8611F_13</vt:lpwstr>
  </property>
  <property fmtid="{D5CDD505-2E9C-101B-9397-08002B2CF9AE}" pid="3" name="KSOProductBuildVer">
    <vt:lpwstr>1049-12.1.0.28485</vt:lpwstr>
  </property>
  <property fmtid="{D5CDD505-2E9C-101B-9397-08002B2CF9AE}" pid="4" name="CalculationRule">
    <vt:i4>0</vt:i4>
  </property>
</Properties>
</file>