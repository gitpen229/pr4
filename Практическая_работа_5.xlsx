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680" windowHeight="11660" tabRatio="600" firstSheet="0" activeTab="0" autoFilterDateGrouping="1"/>
  </bookViews>
  <sheets>
    <sheet xmlns:r="http://schemas.openxmlformats.org/officeDocument/2006/relationships" name="Математика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\ &quot;₽&quot;;[Red]\-#,##0.00\ &quot;₽&quot;"/>
  </numFmts>
  <fonts count="2">
    <font>
      <name val="Calibri"/>
      <family val="2"/>
      <color theme="1"/>
      <sz val="11"/>
      <scheme val="minor"/>
    </font>
    <font>
      <name val="Calibri"/>
      <color rgb="000000FF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tabSelected="1" topLeftCell="J1" workbookViewId="0">
      <selection activeCell="M25" sqref="M25"/>
    </sheetView>
  </sheetViews>
  <sheetFormatPr baseColWidth="8" defaultRowHeight="14.5"/>
  <cols>
    <col width="58" bestFit="1" customWidth="1" min="1" max="1"/>
    <col width="11.81640625" bestFit="1" customWidth="1" min="8" max="8"/>
    <col width="33.1796875" bestFit="1" customWidth="1" min="9" max="9"/>
    <col width="15.90625" bestFit="1" customWidth="1" min="11" max="11"/>
    <col width="30.54296875" bestFit="1" customWidth="1" min="13" max="13"/>
    <col width="19" bestFit="1" customWidth="1" min="14" max="14"/>
    <col width="19" bestFit="1" customWidth="1" min="15" max="15"/>
    <col width="34" bestFit="1" customWidth="1" min="17" max="17"/>
    <col width="15.08984375" bestFit="1" customWidth="1" min="18" max="18"/>
    <col width="18" bestFit="1" customWidth="1" min="19" max="19"/>
    <col width="20" customWidth="1" min="20" max="20"/>
  </cols>
  <sheetData>
    <row r="1">
      <c r="A1" t="inlineStr">
        <is>
          <t>№ детали</t>
        </is>
      </c>
      <c r="B1" t="inlineStr">
        <is>
          <t>Радиус R (мм)</t>
        </is>
      </c>
      <c r="C1" t="inlineStr">
        <is>
          <t>Высота h (мм)</t>
        </is>
      </c>
      <c r="D1" t="inlineStr">
        <is>
          <t>Масса m (кг)</t>
        </is>
      </c>
      <c r="E1" t="inlineStr">
        <is>
          <t>Длина L (мм)</t>
        </is>
      </c>
      <c r="F1" t="inlineStr">
        <is>
          <t>Диаметр (мм)</t>
        </is>
      </c>
      <c r="G1" t="inlineStr">
        <is>
          <t>Объем (мм³)</t>
        </is>
      </c>
      <c r="H1" t="inlineStr">
        <is>
          <t>√V</t>
        </is>
      </c>
      <c r="I1" t="inlineStr">
        <is>
          <t>Модуль отклонения массы от нормы</t>
        </is>
      </c>
      <c r="J1" t="inlineStr">
        <is>
          <t>№ п/п</t>
        </is>
      </c>
      <c r="K1" t="inlineStr">
        <is>
          <t>Норма массы (кг)</t>
        </is>
      </c>
      <c r="M1" t="inlineStr">
        <is>
          <t>Начальная сумма</t>
        </is>
      </c>
      <c r="N1" t="inlineStr">
        <is>
          <t>Ставка годовая</t>
        </is>
      </c>
      <c r="O1" t="inlineStr">
        <is>
          <t>Срок (лет)</t>
        </is>
      </c>
      <c r="Q1" t="inlineStr">
        <is>
          <t>Угол (градусы) — введите значение в Q2</t>
        </is>
      </c>
      <c r="R1" t="inlineStr">
        <is>
          <t>Длина дуги (мм)</t>
        </is>
      </c>
      <c r="S1" t="inlineStr">
        <is>
          <t>Дуга через РADIANS</t>
        </is>
      </c>
      <c r="T1" t="inlineStr">
        <is>
          <t>Ставка кредита — введите в T2; срок (лет) — введите в T3</t>
        </is>
      </c>
      <c r="U1" t="inlineStr">
        <is>
          <t>Кредит</t>
        </is>
      </c>
    </row>
    <row r="2">
      <c r="A2" t="n">
        <v>1</v>
      </c>
      <c r="B2" t="n">
        <v>12.5</v>
      </c>
      <c r="C2" t="n">
        <v>30</v>
      </c>
      <c r="D2" t="n">
        <v>2.4</v>
      </c>
      <c r="E2" t="n">
        <v>145</v>
      </c>
      <c r="F2">
        <f>2*B2</f>
        <v/>
      </c>
      <c r="G2">
        <f>PI()*B2^2*C2</f>
        <v/>
      </c>
      <c r="H2">
        <f>SQRT(G2)</f>
        <v/>
      </c>
      <c r="I2">
        <f>ABS(D2-$L$9)</f>
        <v/>
      </c>
      <c r="J2" t="n">
        <v>1</v>
      </c>
      <c r="K2" t="n">
        <v>3</v>
      </c>
      <c r="M2" t="n">
        <v>100000</v>
      </c>
      <c r="N2" t="n">
        <v>0.12</v>
      </c>
      <c r="O2" t="n">
        <v>5</v>
      </c>
      <c r="Q2" s="2" t="n"/>
      <c r="R2">
        <f>PI()*B2*$Q$2/180</f>
        <v/>
      </c>
      <c r="S2">
        <f>B2*RADIANS($Q$2)</f>
        <v/>
      </c>
      <c r="T2" s="2" t="n"/>
      <c r="U2" t="n">
        <v>500000</v>
      </c>
    </row>
    <row r="3">
      <c r="A3" t="n">
        <v>2</v>
      </c>
      <c r="B3" t="n">
        <v>8.300000000000001</v>
      </c>
      <c r="C3" t="n">
        <v>25</v>
      </c>
      <c r="D3" t="n">
        <v>1.1</v>
      </c>
      <c r="E3" t="n">
        <v>98</v>
      </c>
      <c r="F3">
        <f>2*B3</f>
        <v/>
      </c>
      <c r="G3">
        <f>PI()*B3^2*C3</f>
        <v/>
      </c>
      <c r="H3">
        <f>SQRT(G3)</f>
        <v/>
      </c>
      <c r="I3">
        <f>ABS(D3-$L$9)</f>
        <v/>
      </c>
      <c r="J3" t="n">
        <v>2</v>
      </c>
      <c r="R3">
        <f>PI()*B3*$Q$2/180</f>
        <v/>
      </c>
      <c r="S3">
        <f>B3*RADIANS($Q$2)</f>
        <v/>
      </c>
      <c r="T3" s="2" t="n"/>
    </row>
    <row r="4">
      <c r="A4" t="n">
        <v>3</v>
      </c>
      <c r="B4" t="n">
        <v>15.7</v>
      </c>
      <c r="C4" t="n">
        <v>40</v>
      </c>
      <c r="D4" t="n">
        <v>4</v>
      </c>
      <c r="E4" t="n">
        <v>210</v>
      </c>
      <c r="F4">
        <f>2*B4</f>
        <v/>
      </c>
      <c r="G4">
        <f>PI()*B4^2*C4</f>
        <v/>
      </c>
      <c r="H4">
        <f>SQRT(G4)</f>
        <v/>
      </c>
      <c r="I4">
        <f>ABS(D4-$L$9)</f>
        <v/>
      </c>
      <c r="J4" t="n">
        <v>3</v>
      </c>
      <c r="R4">
        <f>PI()*B4*$Q$2/180</f>
        <v/>
      </c>
      <c r="S4">
        <f>B4*RADIANS($Q$2)</f>
        <v/>
      </c>
    </row>
    <row r="5">
      <c r="A5" t="n">
        <v>4</v>
      </c>
      <c r="B5" t="n">
        <v>6.2</v>
      </c>
      <c r="C5" t="n">
        <v>18</v>
      </c>
      <c r="D5" t="n">
        <v>0.7</v>
      </c>
      <c r="E5" t="n">
        <v>75</v>
      </c>
      <c r="F5">
        <f>2*B5</f>
        <v/>
      </c>
      <c r="G5">
        <f>PI()*B5^2*C5</f>
        <v/>
      </c>
      <c r="H5">
        <f>SQRT(G5)</f>
        <v/>
      </c>
      <c r="I5">
        <f>ABS(D5-$L$9)</f>
        <v/>
      </c>
      <c r="J5" t="n">
        <v>4</v>
      </c>
      <c r="R5">
        <f>PI()*B5*$Q$2/180</f>
        <v/>
      </c>
      <c r="S5">
        <f>B5*RADIANS($Q$2)</f>
        <v/>
      </c>
    </row>
    <row r="6">
      <c r="A6" t="n">
        <v>5</v>
      </c>
      <c r="B6" t="n">
        <v>20.1</v>
      </c>
      <c r="C6" t="n">
        <v>55</v>
      </c>
      <c r="D6" t="n">
        <v>6.5</v>
      </c>
      <c r="E6" t="n">
        <v>320</v>
      </c>
      <c r="F6">
        <f>2*B6</f>
        <v/>
      </c>
      <c r="G6">
        <f>PI()*B6^2*C6</f>
        <v/>
      </c>
      <c r="H6">
        <f>SQRT(G6)</f>
        <v/>
      </c>
      <c r="I6">
        <f>ABS(D6-$L$9)</f>
        <v/>
      </c>
      <c r="J6" t="n">
        <v>5</v>
      </c>
      <c r="R6">
        <f>PI()*B6*$Q$2/180</f>
        <v/>
      </c>
      <c r="S6">
        <f>B6*RADIANS($Q$2)</f>
        <v/>
      </c>
    </row>
    <row r="7">
      <c r="A7" t="n">
        <v>6</v>
      </c>
      <c r="B7" t="n">
        <v>10.4</v>
      </c>
      <c r="C7" t="n">
        <v>28</v>
      </c>
      <c r="D7" t="n">
        <v>1.9</v>
      </c>
      <c r="E7" t="n">
        <v>130</v>
      </c>
      <c r="F7">
        <f>2*B7</f>
        <v/>
      </c>
      <c r="G7">
        <f>PI()*B7^2*C7</f>
        <v/>
      </c>
      <c r="H7">
        <f>SQRT(G7)</f>
        <v/>
      </c>
      <c r="I7">
        <f>ABS(D7-$L$9)</f>
        <v/>
      </c>
      <c r="J7" t="n">
        <v>6</v>
      </c>
      <c r="R7">
        <f>PI()*B7*$Q$2/180</f>
        <v/>
      </c>
      <c r="S7">
        <f>B7*RADIANS($Q$2)</f>
        <v/>
      </c>
    </row>
    <row r="8">
      <c r="A8" t="n">
        <v>7</v>
      </c>
      <c r="B8" t="n">
        <v>18.9</v>
      </c>
      <c r="C8" t="n">
        <v>48</v>
      </c>
      <c r="D8" t="n">
        <v>5.2</v>
      </c>
      <c r="E8" t="n">
        <v>275</v>
      </c>
      <c r="F8">
        <f>2*B8</f>
        <v/>
      </c>
      <c r="G8">
        <f>PI()*B8^2*C8</f>
        <v/>
      </c>
      <c r="H8">
        <f>SQRT(G8)</f>
        <v/>
      </c>
      <c r="I8">
        <f>ABS(D8-$L$9)</f>
        <v/>
      </c>
      <c r="J8" t="n">
        <v>7</v>
      </c>
      <c r="R8">
        <f>PI()*B8*$Q$2/180</f>
        <v/>
      </c>
      <c r="S8">
        <f>B8*RADIANS($Q$2)</f>
        <v/>
      </c>
    </row>
    <row r="9">
      <c r="K9" t="inlineStr">
        <is>
          <t>K1 = норма массы</t>
        </is>
      </c>
      <c r="L9" t="n">
        <v>3</v>
      </c>
    </row>
    <row r="10">
      <c r="A10" t="inlineStr">
        <is>
          <t>Суммарная масса</t>
        </is>
      </c>
      <c r="B10">
        <f>SUM(D2:D8)</f>
        <v/>
      </c>
      <c r="M10" t="inlineStr">
        <is>
          <t>Начальная сумма (прим. расчеты)</t>
        </is>
      </c>
      <c r="N10" t="inlineStr">
        <is>
          <t>Ставка</t>
        </is>
      </c>
      <c r="O10" t="inlineStr">
        <is>
          <t>Срок</t>
        </is>
      </c>
      <c r="Q10" t="inlineStr">
        <is>
          <t>Угол (°)</t>
        </is>
      </c>
    </row>
    <row r="11">
      <c r="A11" t="inlineStr">
        <is>
          <t>Масса &gt; 2 кг</t>
        </is>
      </c>
      <c r="B11">
        <f>SUMIF(D2:D8,"&gt;2")</f>
        <v/>
      </c>
      <c r="M11" t="inlineStr">
        <is>
          <t>Составной процент — сумма к концу срока</t>
        </is>
      </c>
      <c r="N11">
        <f>M2*(1+N2)^O2</f>
        <v/>
      </c>
      <c r="O11">
        <f>M2*EXP(N2*O2)</f>
        <v/>
      </c>
    </row>
    <row r="12">
      <c r="A12" t="inlineStr">
        <is>
          <t>Средневзвешенная масса</t>
        </is>
      </c>
      <c r="B12">
        <f>SUMPRODUCT(D2:D8,E2:E8)/SUM(E2:E8)</f>
        <v/>
      </c>
      <c r="M12" t="inlineStr">
        <is>
          <t>Правило 72</t>
        </is>
      </c>
      <c r="N12">
        <f>72/(N2*100)</f>
        <v/>
      </c>
      <c r="O12">
        <f>LN(2)/LN(1+N2)</f>
        <v/>
      </c>
    </row>
    <row r="13">
      <c r="A13" t="inlineStr">
        <is>
          <t>Кол-во &gt;2 кг</t>
        </is>
      </c>
      <c r="B13">
        <f>COUNTIF(D2:D8,"&gt;2")</f>
        <v/>
      </c>
    </row>
    <row r="14">
      <c r="A14" t="inlineStr">
        <is>
          <t>Средняя масса</t>
        </is>
      </c>
      <c r="B14">
        <f>AVERAGE(D2:D8)</f>
        <v/>
      </c>
    </row>
    <row r="15">
      <c r="A15" t="inlineStr">
        <is>
          <t>Максимум</t>
        </is>
      </c>
      <c r="B15">
        <f>MAX(D2:D8)</f>
        <v/>
      </c>
    </row>
    <row r="16">
      <c r="A16" t="inlineStr">
        <is>
          <t>Минимум</t>
        </is>
      </c>
      <c r="B16">
        <f>MIN(D2:D8)</f>
        <v/>
      </c>
    </row>
    <row r="18">
      <c r="A18" t="inlineStr">
        <is>
          <t>Кредит: сумма</t>
        </is>
      </c>
      <c r="B18">
        <f>U2</f>
        <v/>
      </c>
      <c r="M18" t="inlineStr">
        <is>
          <t>Кредит: ставка</t>
        </is>
      </c>
      <c r="N18">
        <f>T2</f>
        <v/>
      </c>
      <c r="O18" t="inlineStr">
        <is>
          <t>Кредит: срок лет</t>
        </is>
      </c>
      <c r="P18">
        <f>T3</f>
        <v/>
      </c>
    </row>
    <row r="19">
      <c r="A19" t="inlineStr">
        <is>
          <t>Кредит: ежемес. платёж</t>
        </is>
      </c>
      <c r="B19" s="3">
        <f>IF(OR(T2="",T3="",U2=""),"Введите ставку, срок и сумму кредита",-PMT(T2/12,T3*12,U2))</f>
        <v/>
      </c>
    </row>
    <row r="21" ht="30" customHeight="1">
      <c r="A21" s="4" t="inlineStr">
        <is>
          <t>Примечание: для дуги заполните угол в Q2; для кредита заполните сумму в U2, годовую ставку в T2 и срок в T3.</t>
        </is>
      </c>
    </row>
    <row r="22" ht="30" customHeight="1">
      <c r="A22" s="4" t="inlineStr">
        <is>
          <t>Финансовые расчеты используют годовую номинальную ставку; значения ставки вводятся как доля (например, 12% = 0,12).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Excel</dc:creator>
  <dcterms:created xsi:type="dcterms:W3CDTF">2026-09-28T04:14:06Z</dcterms:created>
  <dcterms:modified xsi:type="dcterms:W3CDTF">2026-09-28T07:17:21Z</dcterms:modified>
  <cp:lastModifiedBy>Студенты Левченко Д.О.</cp:lastModifiedBy>
</cp:coreProperties>
</file>